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33E86455-D702-43C4-8F07-5A16C5678600}" xr6:coauthVersionLast="47" xr6:coauthVersionMax="47" xr10:uidLastSave="{00000000-0000-0000-0000-000000000000}"/>
  <bookViews>
    <workbookView xWindow="1380" yWindow="2265" windowWidth="16620" windowHeight="12660" xr2:uid="{00000000-000D-0000-FFFF-FFFF00000000}"/>
  </bookViews>
  <sheets>
    <sheet name="Лист1" sheetId="1" r:id="rId1"/>
    <sheet name="Лист2" sheetId="2" r:id="rId2"/>
  </sheets>
  <definedNames>
    <definedName name="solver_adj" localSheetId="0" hidden="1">Лист1!$C$8:$G$8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ng" localSheetId="1" hidden="1">2</definedName>
    <definedName name="solver_est" localSheetId="0" hidden="1">1</definedName>
    <definedName name="solver_itr" localSheetId="0" hidden="1">2147483647</definedName>
    <definedName name="solver_lhs1" localSheetId="0" hidden="1">Лист1!$H$3</definedName>
    <definedName name="solver_lhs1" localSheetId="1" hidden="1">Лист2!$H$3</definedName>
    <definedName name="solver_lhs2" localSheetId="0" hidden="1">Лист1!$H$4</definedName>
    <definedName name="solver_lhs2" localSheetId="1" hidden="1">Лист2!$H$4</definedName>
    <definedName name="solver_lhs3" localSheetId="0" hidden="1">Лист1!$H$5</definedName>
    <definedName name="solver_lhs3" localSheetId="1" hidden="1">Лист2!$H$5</definedName>
    <definedName name="solver_lhs4" localSheetId="0" hidden="1">Лист1!$H$6</definedName>
    <definedName name="solver_lhs4" localSheetId="1" hidden="1">Лист2!$H$6</definedName>
    <definedName name="solver_lhs5" localSheetId="0" hidden="1">Лист1!$H$8</definedName>
    <definedName name="solver_lhs5" localSheetId="1" hidden="1">Лист2!$H$8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um" localSheetId="0" hidden="1">5</definedName>
    <definedName name="solver_num" localSheetId="1" hidden="1">0</definedName>
    <definedName name="solver_nwt" localSheetId="0" hidden="1">1</definedName>
    <definedName name="solver_opt" localSheetId="0" hidden="1">Лист1!$H$7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1" localSheetId="1" hidden="1">3</definedName>
    <definedName name="solver_rel2" localSheetId="0" hidden="1">1</definedName>
    <definedName name="solver_rel2" localSheetId="1" hidden="1">3</definedName>
    <definedName name="solver_rel3" localSheetId="0" hidden="1">1</definedName>
    <definedName name="solver_rel3" localSheetId="1" hidden="1">3</definedName>
    <definedName name="solver_rel4" localSheetId="0" hidden="1">1</definedName>
    <definedName name="solver_rel4" localSheetId="1" hidden="1">3</definedName>
    <definedName name="solver_rel5" localSheetId="0" hidden="1">2</definedName>
    <definedName name="solver_rel5" localSheetId="1" hidden="1">2</definedName>
    <definedName name="solver_rhs1" localSheetId="0" hidden="1">Лист1!$B$3</definedName>
    <definedName name="solver_rhs1" localSheetId="1" hidden="1">Лист2!$J$19</definedName>
    <definedName name="solver_rhs2" localSheetId="0" hidden="1">Лист1!$B$4</definedName>
    <definedName name="solver_rhs2" localSheetId="1" hidden="1">Лист2!$J$20</definedName>
    <definedName name="solver_rhs3" localSheetId="0" hidden="1">Лист1!$B$5</definedName>
    <definedName name="solver_rhs3" localSheetId="1" hidden="1">Лист2!$J$21</definedName>
    <definedName name="solver_rhs4" localSheetId="0" hidden="1">Лист1!$B$6</definedName>
    <definedName name="solver_rhs4" localSheetId="1" hidden="1">Лист2!$J$22</definedName>
    <definedName name="solver_rhs5" localSheetId="0" hidden="1">Лист1!$I$8</definedName>
    <definedName name="solver_rhs5" localSheetId="1" hidden="1">Лист2!$Q$24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typ" localSheetId="1" hidden="1">1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" i="1" l="1"/>
  <c r="H7" i="1"/>
  <c r="H5" i="1"/>
  <c r="H3" i="1"/>
  <c r="H4" i="1"/>
  <c r="H8" i="1"/>
  <c r="H7" i="2"/>
  <c r="H6" i="2" l="1"/>
  <c r="H5" i="2"/>
  <c r="H4" i="2"/>
  <c r="H3" i="2"/>
  <c r="H8" i="2"/>
</calcChain>
</file>

<file path=xl/sharedStrings.xml><?xml version="1.0" encoding="utf-8"?>
<sst xmlns="http://schemas.openxmlformats.org/spreadsheetml/2006/main" count="34" uniqueCount="16">
  <si>
    <t>Вещество</t>
  </si>
  <si>
    <t>Нижний предел содержания вещества в смеси, ед.</t>
  </si>
  <si>
    <t>Количество единиц вещества, содержащегося в 1 кг сырья соответствующего вида, ед.</t>
  </si>
  <si>
    <r>
      <t>A</t>
    </r>
    <r>
      <rPr>
        <vertAlign val="subscript"/>
        <sz val="12"/>
        <color theme="1"/>
        <rFont val="Times New Roman"/>
        <family val="1"/>
        <charset val="204"/>
      </rPr>
      <t>1</t>
    </r>
  </si>
  <si>
    <r>
      <t>A</t>
    </r>
    <r>
      <rPr>
        <vertAlign val="subscript"/>
        <sz val="12"/>
        <color theme="1"/>
        <rFont val="Times New Roman"/>
        <family val="1"/>
        <charset val="204"/>
      </rPr>
      <t>2</t>
    </r>
  </si>
  <si>
    <r>
      <t>A</t>
    </r>
    <r>
      <rPr>
        <vertAlign val="subscript"/>
        <sz val="12"/>
        <color theme="1"/>
        <rFont val="Times New Roman"/>
        <family val="1"/>
        <charset val="204"/>
      </rPr>
      <t>3</t>
    </r>
  </si>
  <si>
    <r>
      <t>A</t>
    </r>
    <r>
      <rPr>
        <vertAlign val="subscript"/>
        <sz val="12"/>
        <color theme="1"/>
        <rFont val="Times New Roman"/>
        <family val="1"/>
        <charset val="204"/>
      </rPr>
      <t>4</t>
    </r>
  </si>
  <si>
    <r>
      <t>A</t>
    </r>
    <r>
      <rPr>
        <vertAlign val="subscript"/>
        <sz val="12"/>
        <color theme="1"/>
        <rFont val="Times New Roman"/>
        <family val="1"/>
        <charset val="204"/>
      </rPr>
      <t>5</t>
    </r>
  </si>
  <si>
    <r>
      <t>В</t>
    </r>
    <r>
      <rPr>
        <i/>
        <vertAlign val="subscript"/>
        <sz val="12"/>
        <color theme="1"/>
        <rFont val="Times New Roman"/>
        <family val="1"/>
        <charset val="204"/>
      </rPr>
      <t>1</t>
    </r>
  </si>
  <si>
    <r>
      <t>В</t>
    </r>
    <r>
      <rPr>
        <i/>
        <vertAlign val="subscript"/>
        <sz val="12"/>
        <color theme="1"/>
        <rFont val="Times New Roman"/>
        <family val="1"/>
        <charset val="204"/>
      </rPr>
      <t>2</t>
    </r>
  </si>
  <si>
    <r>
      <t>В</t>
    </r>
    <r>
      <rPr>
        <i/>
        <vertAlign val="subscript"/>
        <sz val="12"/>
        <color theme="1"/>
        <rFont val="Times New Roman"/>
        <family val="1"/>
        <charset val="204"/>
      </rPr>
      <t>3</t>
    </r>
  </si>
  <si>
    <r>
      <t>В</t>
    </r>
    <r>
      <rPr>
        <i/>
        <vertAlign val="subscript"/>
        <sz val="12"/>
        <color theme="1"/>
        <rFont val="Times New Roman"/>
        <family val="1"/>
        <charset val="204"/>
      </rPr>
      <t>4</t>
    </r>
  </si>
  <si>
    <t>Стоимость 1 кг сырья соответствующего вида, у.е.</t>
  </si>
  <si>
    <t>Количество сырья, факт, кг</t>
  </si>
  <si>
    <t>Количество сырья, ожидаемое, кг</t>
  </si>
  <si>
    <t>Итог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</si>
</sst>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"/>
    <numFmt numFmtId="165" formatCode="0.000"/>
    <numFmt numFmtId="166" formatCode="0.0"/>
  </numFmts>
  <fonts count="7" x14ac:knownFonts="1">
    <font>
      <sz val="11"/>
      <color theme="1"/>
      <name val="Aptos Narrow"/>
      <family val="2"/>
      <charset val="204"/>
      <scheme val="minor"/>
    </font>
    <font>
      <sz val="11"/>
      <color theme="1"/>
      <name val="Aptos Narrow"/>
      <family val="2"/>
      <charset val="204"/>
      <scheme val="minor"/>
    </font>
    <font>
      <sz val="12"/>
      <color theme="1"/>
      <name val="Times New Roman"/>
      <family val="1"/>
      <charset val="204"/>
    </font>
    <font>
      <i/>
      <sz val="12"/>
      <color theme="1"/>
      <name val="Times New Roman"/>
      <family val="1"/>
      <charset val="204"/>
    </font>
    <font>
      <vertAlign val="subscript"/>
      <sz val="12"/>
      <color theme="1"/>
      <name val="Times New Roman"/>
      <family val="1"/>
      <charset val="204"/>
    </font>
    <font>
      <i/>
      <vertAlign val="subscript"/>
      <sz val="12"/>
      <color theme="1"/>
      <name val="Times New Roman"/>
      <family val="1"/>
      <charset val="204"/>
    </font>
    <font>
      <sz val="11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9">
    <xf numFmtId="0" fontId="0" fillId="0" borderId="0" xfId="0"/>
    <xf numFmtId="0" fontId="3" fillId="0" borderId="3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2" fontId="0" fillId="3" borderId="2" xfId="0" applyNumberFormat="1" applyFill="1" applyBorder="1"/>
    <xf numFmtId="0" fontId="2" fillId="4" borderId="1" xfId="0" applyFont="1" applyFill="1" applyBorder="1" applyAlignment="1">
      <alignment horizontal="center" vertical="center" wrapText="1"/>
    </xf>
    <xf numFmtId="164" fontId="0" fillId="4" borderId="1" xfId="0" applyNumberFormat="1" applyFill="1" applyBorder="1"/>
    <xf numFmtId="0" fontId="2" fillId="0" borderId="9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5" xfId="0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2" fillId="2" borderId="2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2" fillId="0" borderId="8" xfId="0" applyFont="1" applyBorder="1" applyAlignment="1">
      <alignment vertical="center" wrapText="1"/>
    </xf>
    <xf numFmtId="0" fontId="2" fillId="0" borderId="4" xfId="0" applyFont="1" applyBorder="1" applyAlignment="1">
      <alignment vertical="center" wrapText="1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165" fontId="0" fillId="0" borderId="0" xfId="0" applyNumberFormat="1"/>
    <xf numFmtId="165" fontId="2" fillId="4" borderId="1" xfId="0" applyNumberFormat="1" applyFont="1" applyFill="1" applyBorder="1" applyAlignment="1">
      <alignment horizontal="center" vertical="center" wrapText="1"/>
    </xf>
    <xf numFmtId="166" fontId="2" fillId="3" borderId="1" xfId="0" applyNumberFormat="1" applyFont="1" applyFill="1" applyBorder="1" applyAlignment="1">
      <alignment horizontal="center" vertical="center" wrapText="1"/>
    </xf>
    <xf numFmtId="166" fontId="2" fillId="3" borderId="4" xfId="0" applyNumberFormat="1" applyFont="1" applyFill="1" applyBorder="1" applyAlignment="1">
      <alignment horizontal="center" vertical="center" wrapText="1"/>
    </xf>
    <xf numFmtId="166" fontId="2" fillId="3" borderId="4" xfId="1" applyNumberFormat="1" applyFont="1" applyFill="1" applyBorder="1" applyAlignment="1">
      <alignment horizontal="center" vertical="center" wrapText="1"/>
    </xf>
    <xf numFmtId="166" fontId="0" fillId="4" borderId="1" xfId="0" applyNumberFormat="1" applyFill="1" applyBorder="1"/>
  </cellXfs>
  <cellStyles count="2">
    <cellStyle name="Обычный" xfId="0" builtinId="0"/>
    <cellStyle name="Финансовы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438150</xdr:colOff>
          <xdr:row>12</xdr:row>
          <xdr:rowOff>57150</xdr:rowOff>
        </xdr:from>
        <xdr:to>
          <xdr:col>8</xdr:col>
          <xdr:colOff>600075</xdr:colOff>
          <xdr:row>18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ptos Narrow"/>
                </a:rPr>
                <a:t>Кнопка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Стандартная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I10"/>
  <sheetViews>
    <sheetView tabSelected="1" workbookViewId="0">
      <selection activeCell="H3" sqref="H3"/>
    </sheetView>
  </sheetViews>
  <sheetFormatPr defaultRowHeight="15" x14ac:dyDescent="0.25"/>
  <cols>
    <col min="1" max="1" width="26.28515625" customWidth="1"/>
    <col min="2" max="2" width="29.42578125" customWidth="1"/>
    <col min="3" max="3" width="19.7109375" customWidth="1"/>
    <col min="4" max="4" width="16.7109375" customWidth="1"/>
    <col min="5" max="5" width="17.7109375" customWidth="1"/>
    <col min="6" max="6" width="18.5703125" customWidth="1"/>
    <col min="7" max="7" width="18.42578125" customWidth="1"/>
    <col min="8" max="8" width="24.28515625" customWidth="1"/>
    <col min="9" max="9" width="19.140625" customWidth="1"/>
  </cols>
  <sheetData>
    <row r="1" spans="1:9" ht="16.5" thickBot="1" x14ac:dyDescent="0.3">
      <c r="A1" s="11" t="s">
        <v>0</v>
      </c>
      <c r="B1" s="11" t="s">
        <v>1</v>
      </c>
      <c r="C1" s="14" t="s">
        <v>2</v>
      </c>
      <c r="D1" s="15"/>
      <c r="E1" s="15"/>
      <c r="F1" s="15"/>
      <c r="G1" s="16"/>
      <c r="H1" s="11" t="s">
        <v>15</v>
      </c>
    </row>
    <row r="2" spans="1:9" ht="19.5" thickBot="1" x14ac:dyDescent="0.3">
      <c r="A2" s="13"/>
      <c r="B2" s="13"/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12"/>
    </row>
    <row r="3" spans="1:9" ht="19.5" thickBot="1" x14ac:dyDescent="0.3">
      <c r="A3" s="1" t="s">
        <v>8</v>
      </c>
      <c r="B3" s="2">
        <v>15</v>
      </c>
      <c r="C3" s="2">
        <v>12</v>
      </c>
      <c r="D3" s="2">
        <v>20</v>
      </c>
      <c r="E3" s="2">
        <v>12</v>
      </c>
      <c r="F3" s="2">
        <v>20</v>
      </c>
      <c r="G3" s="2">
        <v>20</v>
      </c>
      <c r="H3" s="4">
        <f>C3*$C$8+D3*$D$8+E3*$E$8+F3*$F$8+G3*$G$8</f>
        <v>0</v>
      </c>
    </row>
    <row r="4" spans="1:9" ht="19.5" thickBot="1" x14ac:dyDescent="0.3">
      <c r="A4" s="1" t="s">
        <v>9</v>
      </c>
      <c r="B4" s="2">
        <v>15</v>
      </c>
      <c r="C4" s="2">
        <v>12</v>
      </c>
      <c r="D4" s="2">
        <v>18</v>
      </c>
      <c r="E4" s="2">
        <v>18</v>
      </c>
      <c r="F4" s="2">
        <v>14</v>
      </c>
      <c r="G4" s="2">
        <v>14</v>
      </c>
      <c r="H4" s="4">
        <f>C4*$C$8+D4*$D$8+E4*$E$8+F4*$F$8+G4*$G$8</f>
        <v>0</v>
      </c>
    </row>
    <row r="5" spans="1:9" ht="19.5" thickBot="1" x14ac:dyDescent="0.3">
      <c r="A5" s="1" t="s">
        <v>10</v>
      </c>
      <c r="B5" s="2">
        <v>50</v>
      </c>
      <c r="C5" s="2">
        <v>76</v>
      </c>
      <c r="D5" s="2">
        <v>62</v>
      </c>
      <c r="E5" s="2">
        <v>70</v>
      </c>
      <c r="F5" s="2">
        <v>54</v>
      </c>
      <c r="G5" s="2">
        <v>85</v>
      </c>
      <c r="H5" s="4">
        <f>C5*$C$8+D5*$D$8+E5*$E$8+F5*$F$8+G5*$G$8</f>
        <v>0</v>
      </c>
    </row>
    <row r="6" spans="1:9" ht="19.5" thickBot="1" x14ac:dyDescent="0.3">
      <c r="A6" s="1" t="s">
        <v>11</v>
      </c>
      <c r="B6" s="2">
        <v>70</v>
      </c>
      <c r="C6" s="2">
        <v>76</v>
      </c>
      <c r="D6" s="2">
        <v>62</v>
      </c>
      <c r="E6" s="2">
        <v>70</v>
      </c>
      <c r="F6" s="2">
        <v>57</v>
      </c>
      <c r="G6" s="2">
        <v>75</v>
      </c>
      <c r="H6" s="4">
        <f>C6*$C$8+D6*$D$8+E6*$E$8+F6*$F$8+G6*$G$8</f>
        <v>0</v>
      </c>
    </row>
    <row r="7" spans="1:9" ht="16.5" thickBot="1" x14ac:dyDescent="0.3">
      <c r="A7" s="17" t="s">
        <v>12</v>
      </c>
      <c r="B7" s="18"/>
      <c r="C7" s="2">
        <v>3.5</v>
      </c>
      <c r="D7" s="2">
        <v>3.5</v>
      </c>
      <c r="E7" s="2">
        <v>5.2</v>
      </c>
      <c r="F7" s="2">
        <v>4</v>
      </c>
      <c r="G7" s="2">
        <v>5</v>
      </c>
      <c r="H7" s="4">
        <f>C7*$C$8+D7*$D$8+E7*$E$8+F7*$F$8+G7*$G$8</f>
        <v>0</v>
      </c>
    </row>
    <row r="8" spans="1:9" ht="16.5" thickBot="1" x14ac:dyDescent="0.3">
      <c r="A8" s="19" t="s">
        <v>13</v>
      </c>
      <c r="B8" s="20"/>
      <c r="C8" s="25">
        <v>0</v>
      </c>
      <c r="D8" s="26">
        <v>0</v>
      </c>
      <c r="E8" s="26">
        <v>0</v>
      </c>
      <c r="F8" s="26">
        <v>0</v>
      </c>
      <c r="G8" s="27">
        <v>0</v>
      </c>
      <c r="H8" s="28">
        <f>C8+D8+E8+F8+G8</f>
        <v>0</v>
      </c>
      <c r="I8" s="5">
        <v>1</v>
      </c>
    </row>
    <row r="9" spans="1:9" x14ac:dyDescent="0.25">
      <c r="H9" s="21" t="s">
        <v>13</v>
      </c>
      <c r="I9" s="9" t="s">
        <v>14</v>
      </c>
    </row>
    <row r="10" spans="1:9" ht="15.75" thickBot="1" x14ac:dyDescent="0.3">
      <c r="H10" s="22"/>
      <c r="I10" s="10"/>
    </row>
  </sheetData>
  <mergeCells count="8">
    <mergeCell ref="I9:I10"/>
    <mergeCell ref="H1:H2"/>
    <mergeCell ref="A1:A2"/>
    <mergeCell ref="B1:B2"/>
    <mergeCell ref="C1:G1"/>
    <mergeCell ref="A7:B7"/>
    <mergeCell ref="A8:B8"/>
    <mergeCell ref="H9:H10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I10"/>
  <sheetViews>
    <sheetView workbookViewId="0">
      <selection activeCell="C8" sqref="C8"/>
    </sheetView>
  </sheetViews>
  <sheetFormatPr defaultRowHeight="15" x14ac:dyDescent="0.25"/>
  <cols>
    <col min="1" max="1" width="10.28515625" bestFit="1" customWidth="1"/>
    <col min="2" max="2" width="51.42578125" bestFit="1" customWidth="1"/>
    <col min="8" max="8" width="26" bestFit="1" customWidth="1"/>
    <col min="9" max="9" width="32.28515625" bestFit="1" customWidth="1"/>
  </cols>
  <sheetData>
    <row r="1" spans="1:9" ht="16.5" thickBot="1" x14ac:dyDescent="0.3">
      <c r="A1" s="11" t="s">
        <v>0</v>
      </c>
      <c r="B1" s="11" t="s">
        <v>1</v>
      </c>
      <c r="C1" s="14" t="s">
        <v>2</v>
      </c>
      <c r="D1" s="15"/>
      <c r="E1" s="15"/>
      <c r="F1" s="15"/>
      <c r="G1" s="16"/>
      <c r="H1" s="11" t="s">
        <v>15</v>
      </c>
    </row>
    <row r="2" spans="1:9" ht="19.5" thickBot="1" x14ac:dyDescent="0.3">
      <c r="A2" s="13"/>
      <c r="B2" s="13"/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12"/>
    </row>
    <row r="3" spans="1:9" ht="19.5" thickBot="1" x14ac:dyDescent="0.3">
      <c r="A3" s="1" t="s">
        <v>8</v>
      </c>
      <c r="B3" s="2">
        <v>15</v>
      </c>
      <c r="C3" s="2">
        <v>12</v>
      </c>
      <c r="D3" s="2">
        <v>20</v>
      </c>
      <c r="E3" s="2">
        <v>12</v>
      </c>
      <c r="F3" s="2">
        <v>20</v>
      </c>
      <c r="G3" s="2">
        <v>20</v>
      </c>
      <c r="H3" s="4">
        <f>C3*C8 + D3*D8 + E3*E8 + F3*F8 + G3*G8</f>
        <v>16.8</v>
      </c>
      <c r="I3" s="7"/>
    </row>
    <row r="4" spans="1:9" ht="19.5" thickBot="1" x14ac:dyDescent="0.3">
      <c r="A4" s="1" t="s">
        <v>9</v>
      </c>
      <c r="B4" s="2">
        <v>15</v>
      </c>
      <c r="C4" s="2">
        <v>12</v>
      </c>
      <c r="D4" s="2">
        <v>18</v>
      </c>
      <c r="E4" s="2">
        <v>18</v>
      </c>
      <c r="F4" s="2">
        <v>14</v>
      </c>
      <c r="G4" s="2">
        <v>14</v>
      </c>
      <c r="H4" s="4">
        <f>C4*C8 + D4*D8 + E4*E8 + F4*F8 + G4*G8</f>
        <v>15.200000000000001</v>
      </c>
      <c r="I4" s="7"/>
    </row>
    <row r="5" spans="1:9" ht="19.5" thickBot="1" x14ac:dyDescent="0.3">
      <c r="A5" s="1" t="s">
        <v>10</v>
      </c>
      <c r="B5" s="2">
        <v>50</v>
      </c>
      <c r="C5" s="2">
        <v>76</v>
      </c>
      <c r="D5" s="2">
        <v>62</v>
      </c>
      <c r="E5" s="2">
        <v>70</v>
      </c>
      <c r="F5" s="2">
        <v>54</v>
      </c>
      <c r="G5" s="2">
        <v>85</v>
      </c>
      <c r="H5" s="4">
        <f>C5*C8 + D5*D8 + E5*E8 + F5*F8 + G5*G8</f>
        <v>69.400000000000006</v>
      </c>
      <c r="I5" s="7"/>
    </row>
    <row r="6" spans="1:9" ht="19.5" thickBot="1" x14ac:dyDescent="0.3">
      <c r="A6" s="1" t="s">
        <v>11</v>
      </c>
      <c r="B6" s="2">
        <v>70</v>
      </c>
      <c r="C6" s="2">
        <v>76</v>
      </c>
      <c r="D6" s="2">
        <v>62</v>
      </c>
      <c r="E6" s="2">
        <v>70</v>
      </c>
      <c r="F6" s="2">
        <v>57</v>
      </c>
      <c r="G6" s="2">
        <v>75</v>
      </c>
      <c r="H6" s="4">
        <f>C6*C8 + D6*D8 + E6*E8 + F6*F8 + G6*G8</f>
        <v>68</v>
      </c>
      <c r="I6" s="8"/>
    </row>
    <row r="7" spans="1:9" ht="16.5" thickBot="1" x14ac:dyDescent="0.3">
      <c r="A7" s="17" t="s">
        <v>12</v>
      </c>
      <c r="B7" s="18"/>
      <c r="C7" s="2">
        <v>3.5</v>
      </c>
      <c r="D7" s="2">
        <v>3.5</v>
      </c>
      <c r="E7" s="2">
        <v>5.2</v>
      </c>
      <c r="F7" s="2">
        <v>4</v>
      </c>
      <c r="G7" s="2">
        <v>5</v>
      </c>
      <c r="H7" s="4">
        <f>C7*C8 + D7*D8 + E7*E8 + F7*F8 + G7*G8</f>
        <v>4.24</v>
      </c>
    </row>
    <row r="8" spans="1:9" ht="16.5" thickBot="1" x14ac:dyDescent="0.3">
      <c r="A8" s="19" t="s">
        <v>13</v>
      </c>
      <c r="B8" s="20"/>
      <c r="C8" s="23">
        <v>0.2</v>
      </c>
      <c r="D8" s="23">
        <v>0.2</v>
      </c>
      <c r="E8" s="23">
        <v>0.2</v>
      </c>
      <c r="F8" s="23">
        <v>0.2</v>
      </c>
      <c r="G8" s="23">
        <v>0.2</v>
      </c>
      <c r="H8" s="6">
        <f>SUM(C8:G8)</f>
        <v>1</v>
      </c>
      <c r="I8" s="24">
        <v>1</v>
      </c>
    </row>
    <row r="9" spans="1:9" ht="15.75" x14ac:dyDescent="0.25">
      <c r="F9" s="8"/>
      <c r="H9" s="21" t="s">
        <v>13</v>
      </c>
      <c r="I9" s="9" t="s">
        <v>14</v>
      </c>
    </row>
    <row r="10" spans="1:9" ht="15.75" thickBot="1" x14ac:dyDescent="0.3">
      <c r="H10" s="22"/>
      <c r="I10" s="10"/>
    </row>
  </sheetData>
  <mergeCells count="8">
    <mergeCell ref="H9:H10"/>
    <mergeCell ref="I9:I10"/>
    <mergeCell ref="A1:A2"/>
    <mergeCell ref="B1:B2"/>
    <mergeCell ref="C1:G1"/>
    <mergeCell ref="H1:H2"/>
    <mergeCell ref="A7:B7"/>
    <mergeCell ref="A8:B8"/>
  </mergeCells>
  <pageMargins left="0.7" right="0.7" top="0.75" bottom="0.75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ЭтаКнига.расчет">
                <anchor moveWithCells="1" sizeWithCells="1">
                  <from>
                    <xdr:col>5</xdr:col>
                    <xdr:colOff>438150</xdr:colOff>
                    <xdr:row>12</xdr:row>
                    <xdr:rowOff>57150</xdr:rowOff>
                  </from>
                  <to>
                    <xdr:col>8</xdr:col>
                    <xdr:colOff>600075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24226267-c365-446c-af04-9b606b005ff4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AF1150EACF3DF42ACDAA22C4D336C68" ma:contentTypeVersion="13" ma:contentTypeDescription="Create a new document." ma:contentTypeScope="" ma:versionID="35eb36be1ae650fb1ab652d337c485df">
  <xsd:schema xmlns:xsd="http://www.w3.org/2001/XMLSchema" xmlns:xs="http://www.w3.org/2001/XMLSchema" xmlns:p="http://schemas.microsoft.com/office/2006/metadata/properties" xmlns:ns3="db9f5cf2-fd79-453a-9837-1e1ef1229964" xmlns:ns4="24226267-c365-446c-af04-9b606b005ff4" targetNamespace="http://schemas.microsoft.com/office/2006/metadata/properties" ma:root="true" ma:fieldsID="cf3dca2ecf855476c4c9818e2d6fe3ee" ns3:_="" ns4:_="">
    <xsd:import namespace="db9f5cf2-fd79-453a-9837-1e1ef1229964"/>
    <xsd:import namespace="24226267-c365-446c-af04-9b606b005ff4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GenerationTime" minOccurs="0"/>
                <xsd:element ref="ns4:MediaServiceEventHashCode" minOccurs="0"/>
                <xsd:element ref="ns4:_activity" minOccurs="0"/>
                <xsd:element ref="ns4:MediaServiceOCR" minOccurs="0"/>
                <xsd:element ref="ns4:MediaServiceObjectDetectorVersions" minOccurs="0"/>
                <xsd:element ref="ns4:MediaServiceSearchProperties" minOccurs="0"/>
                <xsd:element ref="ns4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b9f5cf2-fd79-453a-9837-1e1ef122996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4226267-c365-446c-af04-9b606b005f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BE141A3-440B-477C-9280-9D127B88BC2D}">
  <ds:schemaRefs>
    <ds:schemaRef ds:uri="db9f5cf2-fd79-453a-9837-1e1ef1229964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24226267-c365-446c-af04-9b606b005ff4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8DAFF947-53F8-43EC-AB4A-0820EFA46D1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b9f5cf2-fd79-453a-9837-1e1ef1229964"/>
    <ds:schemaRef ds:uri="24226267-c365-446c-af04-9b606b005ff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79E25EC-7697-4665-947F-217ADCAFDD3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Машуков Иван Владимирович</dc:creator>
  <cp:lastModifiedBy>Машуков Иван Владимирович</cp:lastModifiedBy>
  <dcterms:created xsi:type="dcterms:W3CDTF">2024-11-12T06:13:46Z</dcterms:created>
  <dcterms:modified xsi:type="dcterms:W3CDTF">2025-01-14T04:11:07Z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0x0101002AF1150EACF3DF42ACDAA22C4D336C68</vt:lpwstr>
  </property>
</Properties>
</file>